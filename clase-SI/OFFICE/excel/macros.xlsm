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gramacion\Desktop\"/>
    </mc:Choice>
  </mc:AlternateContent>
  <xr:revisionPtr revIDLastSave="0" documentId="13_ncr:1_{70AB5711-D962-4433-A2C1-12C263F84A19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ejer1" sheetId="1" r:id="rId1"/>
    <sheet name="ejer2" sheetId="2" r:id="rId2"/>
    <sheet name="ejer3" sheetId="3" r:id="rId3"/>
    <sheet name="ejer4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3" l="1"/>
  <c r="L19" i="4"/>
  <c r="L23" i="4" s="1"/>
  <c r="K7" i="3"/>
  <c r="F4" i="2"/>
  <c r="G4" i="2" s="1"/>
  <c r="F5" i="2"/>
  <c r="G5" i="2" s="1"/>
  <c r="F6" i="2"/>
  <c r="G6" i="2" s="1"/>
  <c r="F3" i="2"/>
  <c r="G3" i="2" s="1"/>
  <c r="E4" i="2"/>
  <c r="E5" i="2"/>
  <c r="E6" i="2"/>
  <c r="E3" i="2"/>
  <c r="G6" i="1"/>
  <c r="K13" i="3" l="1"/>
</calcChain>
</file>

<file path=xl/sharedStrings.xml><?xml version="1.0" encoding="utf-8"?>
<sst xmlns="http://schemas.openxmlformats.org/spreadsheetml/2006/main" count="60" uniqueCount="54">
  <si>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</si>
  <si>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</si>
  <si>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</si>
  <si>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</si>
  <si>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</si>
  <si>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</si>
  <si>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</si>
  <si>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</si>
  <si>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</si>
  <si>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</si>
  <si>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</si>
  <si>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</si>
  <si>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Cantidad</t>
  </si>
  <si>
    <t>Precio</t>
  </si>
  <si>
    <t>Total</t>
  </si>
  <si>
    <t>Capital</t>
  </si>
  <si>
    <t>CCAA</t>
  </si>
  <si>
    <t>PAIS</t>
  </si>
  <si>
    <t>Madrid</t>
  </si>
  <si>
    <t>Santander</t>
  </si>
  <si>
    <t>resultado</t>
  </si>
  <si>
    <t>Producto</t>
  </si>
  <si>
    <t>Valor</t>
  </si>
  <si>
    <t>Descuento</t>
  </si>
  <si>
    <t>Valor a pagar</t>
  </si>
  <si>
    <t>Ratón</t>
  </si>
  <si>
    <t>CPU</t>
  </si>
  <si>
    <t>Monitor</t>
  </si>
  <si>
    <t>Teclado</t>
  </si>
  <si>
    <t>Color</t>
  </si>
  <si>
    <t>Amarillo</t>
  </si>
  <si>
    <t>Azul</t>
  </si>
  <si>
    <t>Negro</t>
  </si>
  <si>
    <t>Rojo</t>
  </si>
  <si>
    <t>Verde</t>
  </si>
  <si>
    <t>Sub tutal</t>
  </si>
  <si>
    <t>Dcto Volumen</t>
  </si>
  <si>
    <t>Dcto. Pronto pago</t>
  </si>
  <si>
    <t>TOTAL</t>
  </si>
  <si>
    <t>precio unitario</t>
  </si>
  <si>
    <t>doble</t>
  </si>
  <si>
    <t>doble uso individual</t>
  </si>
  <si>
    <t>individual</t>
  </si>
  <si>
    <t>suite</t>
  </si>
  <si>
    <t>pension completa</t>
  </si>
  <si>
    <t>almuerzo</t>
  </si>
  <si>
    <t>cena</t>
  </si>
  <si>
    <t>Hotel Macro de Excel</t>
  </si>
  <si>
    <t>Niños menores de 2 años ¡¡GRATIS!!</t>
  </si>
  <si>
    <t>Cantidad a pagar:</t>
  </si>
  <si>
    <t>Tipo de habitación:</t>
  </si>
  <si>
    <t>Incremento por comidas</t>
  </si>
  <si>
    <t>subtotal</t>
  </si>
  <si>
    <t>incremento por niños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</si>
</sst>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1" fillId="2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10" fontId="0" fillId="3" borderId="0" xfId="0" applyNumberFormat="1" applyFill="1"/>
    <xf numFmtId="1" fontId="0" fillId="3" borderId="0" xfId="0" applyNumberFormat="1" applyFill="1"/>
    <xf numFmtId="0" fontId="0" fillId="3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0" xfId="0" applyFill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2" fontId="0" fillId="4" borderId="15" xfId="0" applyNumberFormat="1" applyFill="1" applyBorder="1"/>
    <xf numFmtId="0" fontId="3" fillId="4" borderId="0" xfId="0" applyFont="1" applyFill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1" fontId="0" fillId="3" borderId="1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7C7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28575</xdr:rowOff>
        </xdr:from>
        <xdr:to>
          <xdr:col>4</xdr:col>
          <xdr:colOff>504825</xdr:colOff>
          <xdr:row>9</xdr:row>
          <xdr:rowOff>85725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13</xdr:row>
          <xdr:rowOff>47625</xdr:rowOff>
        </xdr:from>
        <xdr:to>
          <xdr:col>12</xdr:col>
          <xdr:colOff>533400</xdr:colOff>
          <xdr:row>14</xdr:row>
          <xdr:rowOff>180975</xdr:rowOff>
        </xdr:to>
        <xdr:sp macro="" textlink="">
          <xdr:nvSpPr>
            <xdr:cNvPr id="1033" name="OptionButton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15</xdr:row>
          <xdr:rowOff>85725</xdr:rowOff>
        </xdr:from>
        <xdr:to>
          <xdr:col>12</xdr:col>
          <xdr:colOff>314325</xdr:colOff>
          <xdr:row>17</xdr:row>
          <xdr:rowOff>0</xdr:rowOff>
        </xdr:to>
        <xdr:sp macro="" textlink="">
          <xdr:nvSpPr>
            <xdr:cNvPr id="1035" name="Option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17</xdr:row>
          <xdr:rowOff>104775</xdr:rowOff>
        </xdr:from>
        <xdr:to>
          <xdr:col>12</xdr:col>
          <xdr:colOff>457200</xdr:colOff>
          <xdr:row>19</xdr:row>
          <xdr:rowOff>19050</xdr:rowOff>
        </xdr:to>
        <xdr:sp macro="" textlink="">
          <xdr:nvSpPr>
            <xdr:cNvPr id="1036" name="OptionButton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19050</xdr:rowOff>
        </xdr:from>
        <xdr:to>
          <xdr:col>8</xdr:col>
          <xdr:colOff>257175</xdr:colOff>
          <xdr:row>22</xdr:row>
          <xdr:rowOff>9525</xdr:rowOff>
        </xdr:to>
        <xdr:sp macro="" textlink="">
          <xdr:nvSpPr>
            <xdr:cNvPr id="1037" name="OptionButton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123825</xdr:rowOff>
        </xdr:from>
        <xdr:to>
          <xdr:col>8</xdr:col>
          <xdr:colOff>342900</xdr:colOff>
          <xdr:row>19</xdr:row>
          <xdr:rowOff>47625</xdr:rowOff>
        </xdr:to>
        <xdr:sp macro="" textlink="">
          <xdr:nvSpPr>
            <xdr:cNvPr id="1038" name="OptionButton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66675</xdr:rowOff>
        </xdr:from>
        <xdr:to>
          <xdr:col>8</xdr:col>
          <xdr:colOff>381000</xdr:colOff>
          <xdr:row>15</xdr:row>
          <xdr:rowOff>0</xdr:rowOff>
        </xdr:to>
        <xdr:sp macro="" textlink="">
          <xdr:nvSpPr>
            <xdr:cNvPr id="1039" name="OptionButton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85725</xdr:rowOff>
        </xdr:from>
        <xdr:to>
          <xdr:col>3</xdr:col>
          <xdr:colOff>533400</xdr:colOff>
          <xdr:row>25</xdr:row>
          <xdr:rowOff>95250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7</xdr:row>
          <xdr:rowOff>142875</xdr:rowOff>
        </xdr:from>
        <xdr:to>
          <xdr:col>3</xdr:col>
          <xdr:colOff>333375</xdr:colOff>
          <xdr:row>9</xdr:row>
          <xdr:rowOff>85725</xdr:rowOff>
        </xdr:to>
        <xdr:sp macro="" textlink="">
          <xdr:nvSpPr>
            <xdr:cNvPr id="2052" name="Option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9</xdr:row>
          <xdr:rowOff>171450</xdr:rowOff>
        </xdr:from>
        <xdr:to>
          <xdr:col>3</xdr:col>
          <xdr:colOff>514350</xdr:colOff>
          <xdr:row>11</xdr:row>
          <xdr:rowOff>180975</xdr:rowOff>
        </xdr:to>
        <xdr:sp macro="" textlink="">
          <xdr:nvSpPr>
            <xdr:cNvPr id="2053" name="Option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12</xdr:row>
          <xdr:rowOff>28575</xdr:rowOff>
        </xdr:from>
        <xdr:to>
          <xdr:col>4</xdr:col>
          <xdr:colOff>685800</xdr:colOff>
          <xdr:row>15</xdr:row>
          <xdr:rowOff>133350</xdr:rowOff>
        </xdr:to>
        <xdr:sp macro="" textlink="">
          <xdr:nvSpPr>
            <xdr:cNvPr id="2054" name="Option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1</xdr:row>
          <xdr:rowOff>190500</xdr:rowOff>
        </xdr:from>
        <xdr:to>
          <xdr:col>5</xdr:col>
          <xdr:colOff>76200</xdr:colOff>
          <xdr:row>3</xdr:row>
          <xdr:rowOff>66675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161925</xdr:rowOff>
        </xdr:from>
        <xdr:to>
          <xdr:col>4</xdr:col>
          <xdr:colOff>342900</xdr:colOff>
          <xdr:row>6</xdr:row>
          <xdr:rowOff>9525</xdr:rowOff>
        </xdr:to>
        <xdr:sp macro="" textlink="">
          <xdr:nvSpPr>
            <xdr:cNvPr id="3074" name="Option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6</xdr:row>
          <xdr:rowOff>85725</xdr:rowOff>
        </xdr:from>
        <xdr:to>
          <xdr:col>4</xdr:col>
          <xdr:colOff>333375</xdr:colOff>
          <xdr:row>7</xdr:row>
          <xdr:rowOff>85725</xdr:rowOff>
        </xdr:to>
        <xdr:sp macro="" textlink="">
          <xdr:nvSpPr>
            <xdr:cNvPr id="3075" name="Option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</xdr:row>
          <xdr:rowOff>9525</xdr:rowOff>
        </xdr:from>
        <xdr:to>
          <xdr:col>4</xdr:col>
          <xdr:colOff>352425</xdr:colOff>
          <xdr:row>9</xdr:row>
          <xdr:rowOff>57150</xdr:rowOff>
        </xdr:to>
        <xdr:sp macro="" textlink="">
          <xdr:nvSpPr>
            <xdr:cNvPr id="3076" name="Option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5</xdr:row>
          <xdr:rowOff>66675</xdr:rowOff>
        </xdr:from>
        <xdr:to>
          <xdr:col>7</xdr:col>
          <xdr:colOff>285750</xdr:colOff>
          <xdr:row>9</xdr:row>
          <xdr:rowOff>66675</xdr:rowOff>
        </xdr:to>
        <xdr:sp macro="" textlink="">
          <xdr:nvSpPr>
            <xdr:cNvPr id="3077" name="SpinButto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85725</xdr:rowOff>
        </xdr:from>
        <xdr:to>
          <xdr:col>6</xdr:col>
          <xdr:colOff>523875</xdr:colOff>
          <xdr:row>5</xdr:row>
          <xdr:rowOff>161925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9</xdr:row>
          <xdr:rowOff>0</xdr:rowOff>
        </xdr:from>
        <xdr:to>
          <xdr:col>6</xdr:col>
          <xdr:colOff>142875</xdr:colOff>
          <xdr:row>10</xdr:row>
          <xdr:rowOff>28575</xdr:rowOff>
        </xdr:to>
        <xdr:sp macro="" textlink="">
          <xdr:nvSpPr>
            <xdr:cNvPr id="4099" name="Option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10</xdr:row>
          <xdr:rowOff>123825</xdr:rowOff>
        </xdr:from>
        <xdr:to>
          <xdr:col>6</xdr:col>
          <xdr:colOff>200025</xdr:colOff>
          <xdr:row>11</xdr:row>
          <xdr:rowOff>133350</xdr:rowOff>
        </xdr:to>
        <xdr:sp macro="" textlink="">
          <xdr:nvSpPr>
            <xdr:cNvPr id="4100" name="Option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12</xdr:row>
          <xdr:rowOff>38100</xdr:rowOff>
        </xdr:from>
        <xdr:to>
          <xdr:col>6</xdr:col>
          <xdr:colOff>142875</xdr:colOff>
          <xdr:row>13</xdr:row>
          <xdr:rowOff>47625</xdr:rowOff>
        </xdr:to>
        <xdr:sp macro="" textlink="">
          <xdr:nvSpPr>
            <xdr:cNvPr id="4101" name="OptionButton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13</xdr:row>
          <xdr:rowOff>152400</xdr:rowOff>
        </xdr:from>
        <xdr:to>
          <xdr:col>6</xdr:col>
          <xdr:colOff>142875</xdr:colOff>
          <xdr:row>15</xdr:row>
          <xdr:rowOff>28575</xdr:rowOff>
        </xdr:to>
        <xdr:sp macro="" textlink="">
          <xdr:nvSpPr>
            <xdr:cNvPr id="4102" name="OptionButton4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7</xdr:row>
          <xdr:rowOff>171450</xdr:rowOff>
        </xdr:from>
        <xdr:to>
          <xdr:col>11</xdr:col>
          <xdr:colOff>533400</xdr:colOff>
          <xdr:row>9</xdr:row>
          <xdr:rowOff>38100</xdr:rowOff>
        </xdr:to>
        <xdr:sp macro="" textlink="">
          <xdr:nvSpPr>
            <xdr:cNvPr id="4104" name="CheckBox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12" Type="http://schemas.openxmlformats.org/officeDocument/2006/relationships/image" Target="../media/image16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11" Type="http://schemas.openxmlformats.org/officeDocument/2006/relationships/control" Target="../activeX/activeX16.xml"/><Relationship Id="rId5" Type="http://schemas.openxmlformats.org/officeDocument/2006/relationships/control" Target="../activeX/activeX13.xml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7.xml"/><Relationship Id="rId7" Type="http://schemas.openxmlformats.org/officeDocument/2006/relationships/control" Target="../activeX/activeX19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11" Type="http://schemas.openxmlformats.org/officeDocument/2006/relationships/control" Target="../activeX/activeX21.xml"/><Relationship Id="rId5" Type="http://schemas.openxmlformats.org/officeDocument/2006/relationships/control" Target="../activeX/activeX18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20.xml"/><Relationship Id="rId14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3:G32"/>
  <sheetViews>
    <sheetView topLeftCell="A7" workbookViewId="0">
      <selection activeCell="O13" sqref="O13"/>
    </sheetView>
  </sheetViews>
  <sheetFormatPr baseColWidth="10" defaultColWidth="9.140625" defaultRowHeight="15" x14ac:dyDescent="0.25"/>
  <cols>
    <col min="1" max="1" width="11.42578125" bestFit="1" customWidth="1"/>
    <col min="2" max="2" width="10" bestFit="1" customWidth="1"/>
  </cols>
  <sheetData>
    <row r="3" spans="1:7" x14ac:dyDescent="0.25">
      <c r="A3" s="2" t="s">
        <v>0</v>
      </c>
      <c r="B3" s="2">
        <v>5000</v>
      </c>
    </row>
    <row r="4" spans="1:7" x14ac:dyDescent="0.25">
      <c r="A4" s="2" t="s">
        <v>1</v>
      </c>
      <c r="B4" s="2">
        <v>6000</v>
      </c>
    </row>
    <row r="5" spans="1:7" x14ac:dyDescent="0.25">
      <c r="A5" s="2" t="s">
        <v>2</v>
      </c>
      <c r="B5" s="2">
        <v>7000</v>
      </c>
      <c r="E5" s="1" t="s">
        <v>12</v>
      </c>
      <c r="F5" s="1" t="s">
        <v>13</v>
      </c>
      <c r="G5" s="1" t="s">
        <v>14</v>
      </c>
    </row>
    <row r="6" spans="1:7" x14ac:dyDescent="0.25">
      <c r="A6" s="2" t="s">
        <v>3</v>
      </c>
      <c r="B6" s="2">
        <v>7000</v>
      </c>
      <c r="E6">
        <v>132</v>
      </c>
      <c r="F6">
        <v>8000</v>
      </c>
      <c r="G6">
        <f>E6*F6</f>
        <v>1056000</v>
      </c>
    </row>
    <row r="7" spans="1:7" x14ac:dyDescent="0.25">
      <c r="A7" s="2" t="s">
        <v>4</v>
      </c>
      <c r="B7" s="2">
        <v>8000</v>
      </c>
    </row>
    <row r="8" spans="1:7" x14ac:dyDescent="0.25">
      <c r="A8" s="2" t="s">
        <v>5</v>
      </c>
      <c r="B8" s="2">
        <v>8500</v>
      </c>
    </row>
    <row r="9" spans="1:7" x14ac:dyDescent="0.25">
      <c r="A9" s="2" t="s">
        <v>6</v>
      </c>
      <c r="B9" s="2">
        <v>9000</v>
      </c>
    </row>
    <row r="10" spans="1:7" x14ac:dyDescent="0.25">
      <c r="A10" s="2" t="s">
        <v>7</v>
      </c>
      <c r="B10" s="2">
        <v>8700</v>
      </c>
    </row>
    <row r="11" spans="1:7" x14ac:dyDescent="0.25">
      <c r="A11" s="2" t="s">
        <v>8</v>
      </c>
      <c r="B11" s="2">
        <v>8500</v>
      </c>
    </row>
    <row r="12" spans="1:7" x14ac:dyDescent="0.25">
      <c r="A12" s="2" t="s">
        <v>9</v>
      </c>
      <c r="B12" s="2">
        <v>7000</v>
      </c>
    </row>
    <row r="13" spans="1:7" x14ac:dyDescent="0.25">
      <c r="A13" s="2" t="s">
        <v>10</v>
      </c>
      <c r="B13" s="2">
        <v>6500</v>
      </c>
    </row>
    <row r="14" spans="1:7" x14ac:dyDescent="0.25">
      <c r="A14" s="2" t="s">
        <v>11</v>
      </c>
      <c r="B14" s="2">
        <v>5800</v>
      </c>
    </row>
    <row r="17" spans="1:2" x14ac:dyDescent="0.25">
      <c r="A17" s="3" t="s">
        <v>15</v>
      </c>
      <c r="B17" s="3"/>
    </row>
    <row r="18" spans="1:2" x14ac:dyDescent="0.25">
      <c r="A18" s="2" t="s">
        <v>16</v>
      </c>
      <c r="B18" s="2" t="s">
        <v>19</v>
      </c>
    </row>
    <row r="19" spans="1:2" x14ac:dyDescent="0.25">
      <c r="A19" s="2" t="s">
        <v>17</v>
      </c>
      <c r="B19" s="2" t="s">
        <v>18</v>
      </c>
    </row>
    <row r="25" spans="1:2" x14ac:dyDescent="0.25">
      <c r="A25" s="2">
        <v>70</v>
      </c>
    </row>
    <row r="26" spans="1:2" x14ac:dyDescent="0.25">
      <c r="A26" s="2">
        <v>58</v>
      </c>
    </row>
    <row r="27" spans="1:2" x14ac:dyDescent="0.25">
      <c r="A27" s="2">
        <v>2</v>
      </c>
    </row>
    <row r="28" spans="1:2" x14ac:dyDescent="0.25">
      <c r="A28" s="2">
        <v>34</v>
      </c>
    </row>
    <row r="29" spans="1:2" x14ac:dyDescent="0.25">
      <c r="A29" s="2">
        <v>1000</v>
      </c>
    </row>
    <row r="30" spans="1:2" x14ac:dyDescent="0.25">
      <c r="A30" s="2">
        <v>5</v>
      </c>
    </row>
    <row r="31" spans="1:2" x14ac:dyDescent="0.25">
      <c r="A31" s="2">
        <v>12340</v>
      </c>
    </row>
    <row r="32" spans="1:2" x14ac:dyDescent="0.25">
      <c r="A32" s="2" t="s">
        <v>20</v>
      </c>
      <c r="B32" s="2">
        <v>4060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ommandButton1">
          <controlPr defaultSize="0" autoLine="0" r:id="rId5">
            <anchor moveWithCells="1">
              <from>
                <xdr:col>2</xdr:col>
                <xdr:colOff>19050</xdr:colOff>
                <xdr:row>23</xdr:row>
                <xdr:rowOff>85725</xdr:rowOff>
              </from>
              <to>
                <xdr:col>3</xdr:col>
                <xdr:colOff>533400</xdr:colOff>
                <xdr:row>25</xdr:row>
                <xdr:rowOff>95250</xdr:rowOff>
              </to>
            </anchor>
          </controlPr>
        </control>
      </mc:Choice>
      <mc:Fallback>
        <control shapeId="1040" r:id="rId4" name="CommandButton1"/>
      </mc:Fallback>
    </mc:AlternateContent>
    <mc:AlternateContent xmlns:mc="http://schemas.openxmlformats.org/markup-compatibility/2006">
      <mc:Choice Requires="x14">
        <control shapeId="1039" r:id="rId6" name="OptionButton6">
          <controlPr defaultSize="0" autoLine="0" r:id="rId7">
            <anchor moveWithCells="1">
              <from>
                <xdr:col>6</xdr:col>
                <xdr:colOff>0</xdr:colOff>
                <xdr:row>13</xdr:row>
                <xdr:rowOff>66675</xdr:rowOff>
              </from>
              <to>
                <xdr:col>8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1039" r:id="rId6" name="OptionButton6"/>
      </mc:Fallback>
    </mc:AlternateContent>
    <mc:AlternateContent xmlns:mc="http://schemas.openxmlformats.org/markup-compatibility/2006">
      <mc:Choice Requires="x14">
        <control shapeId="1038" r:id="rId8" name="OptionButton5">
          <controlPr defaultSize="0" autoLine="0" r:id="rId9">
            <anchor moveWithCells="1">
              <from>
                <xdr:col>6</xdr:col>
                <xdr:colOff>0</xdr:colOff>
                <xdr:row>16</xdr:row>
                <xdr:rowOff>123825</xdr:rowOff>
              </from>
              <to>
                <xdr:col>8</xdr:col>
                <xdr:colOff>342900</xdr:colOff>
                <xdr:row>19</xdr:row>
                <xdr:rowOff>47625</xdr:rowOff>
              </to>
            </anchor>
          </controlPr>
        </control>
      </mc:Choice>
      <mc:Fallback>
        <control shapeId="1038" r:id="rId8" name="OptionButton5"/>
      </mc:Fallback>
    </mc:AlternateContent>
    <mc:AlternateContent xmlns:mc="http://schemas.openxmlformats.org/markup-compatibility/2006">
      <mc:Choice Requires="x14">
        <control shapeId="1037" r:id="rId10" name="OptionButton4">
          <controlPr defaultSize="0" autoLine="0" r:id="rId11">
            <anchor moveWithCells="1">
              <from>
                <xdr:col>6</xdr:col>
                <xdr:colOff>0</xdr:colOff>
                <xdr:row>20</xdr:row>
                <xdr:rowOff>19050</xdr:rowOff>
              </from>
              <to>
                <xdr:col>8</xdr:col>
                <xdr:colOff>257175</xdr:colOff>
                <xdr:row>22</xdr:row>
                <xdr:rowOff>9525</xdr:rowOff>
              </to>
            </anchor>
          </controlPr>
        </control>
      </mc:Choice>
      <mc:Fallback>
        <control shapeId="1037" r:id="rId10" name="OptionButton4"/>
      </mc:Fallback>
    </mc:AlternateContent>
    <mc:AlternateContent xmlns:mc="http://schemas.openxmlformats.org/markup-compatibility/2006">
      <mc:Choice Requires="x14">
        <control shapeId="1036" r:id="rId12" name="OptionButton3">
          <controlPr defaultSize="0" autoLine="0" r:id="rId13">
            <anchor moveWithCells="1">
              <from>
                <xdr:col>9</xdr:col>
                <xdr:colOff>447675</xdr:colOff>
                <xdr:row>17</xdr:row>
                <xdr:rowOff>104775</xdr:rowOff>
              </from>
              <to>
                <xdr:col>12</xdr:col>
                <xdr:colOff>457200</xdr:colOff>
                <xdr:row>19</xdr:row>
                <xdr:rowOff>19050</xdr:rowOff>
              </to>
            </anchor>
          </controlPr>
        </control>
      </mc:Choice>
      <mc:Fallback>
        <control shapeId="1036" r:id="rId12" name="OptionButton3"/>
      </mc:Fallback>
    </mc:AlternateContent>
    <mc:AlternateContent xmlns:mc="http://schemas.openxmlformats.org/markup-compatibility/2006">
      <mc:Choice Requires="x14">
        <control shapeId="1035" r:id="rId14" name="OptionButton2">
          <controlPr defaultSize="0" autoLine="0" r:id="rId15">
            <anchor moveWithCells="1">
              <from>
                <xdr:col>9</xdr:col>
                <xdr:colOff>447675</xdr:colOff>
                <xdr:row>15</xdr:row>
                <xdr:rowOff>85725</xdr:rowOff>
              </from>
              <to>
                <xdr:col>12</xdr:col>
                <xdr:colOff>314325</xdr:colOff>
                <xdr:row>17</xdr:row>
                <xdr:rowOff>0</xdr:rowOff>
              </to>
            </anchor>
          </controlPr>
        </control>
      </mc:Choice>
      <mc:Fallback>
        <control shapeId="1035" r:id="rId14" name="OptionButton2"/>
      </mc:Fallback>
    </mc:AlternateContent>
    <mc:AlternateContent xmlns:mc="http://schemas.openxmlformats.org/markup-compatibility/2006">
      <mc:Choice Requires="x14">
        <control shapeId="1033" r:id="rId16" name="OptionButton1">
          <controlPr defaultSize="0" autoLine="0" r:id="rId17">
            <anchor moveWithCells="1">
              <from>
                <xdr:col>9</xdr:col>
                <xdr:colOff>447675</xdr:colOff>
                <xdr:row>13</xdr:row>
                <xdr:rowOff>47625</xdr:rowOff>
              </from>
              <to>
                <xdr:col>12</xdr:col>
                <xdr:colOff>533400</xdr:colOff>
                <xdr:row>14</xdr:row>
                <xdr:rowOff>180975</xdr:rowOff>
              </to>
            </anchor>
          </controlPr>
        </control>
      </mc:Choice>
      <mc:Fallback>
        <control shapeId="1033" r:id="rId16" name="OptionButton1"/>
      </mc:Fallback>
    </mc:AlternateContent>
    <mc:AlternateContent xmlns:mc="http://schemas.openxmlformats.org/markup-compatibility/2006">
      <mc:Choice Requires="x14">
        <control shapeId="1032" r:id="rId18" name="ComboBox1">
          <controlPr defaultSize="0" autoLine="0" autoPict="0" linkedCell="F6" listFillRange="A3:B14" r:id="rId19">
            <anchor moveWithCells="1">
              <from>
                <xdr:col>3</xdr:col>
                <xdr:colOff>219075</xdr:colOff>
                <xdr:row>8</xdr:row>
                <xdr:rowOff>28575</xdr:rowOff>
              </from>
              <to>
                <xdr:col>4</xdr:col>
                <xdr:colOff>504825</xdr:colOff>
                <xdr:row>9</xdr:row>
                <xdr:rowOff>85725</xdr:rowOff>
              </to>
            </anchor>
          </controlPr>
        </control>
      </mc:Choice>
      <mc:Fallback>
        <control shapeId="1032" r:id="rId18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E7265-9D37-4FC6-8A2F-19D4EB864463}">
  <sheetPr codeName="Hoja2"/>
  <dimension ref="B2:G16"/>
  <sheetViews>
    <sheetView workbookViewId="0">
      <selection activeCell="H6" sqref="H6"/>
    </sheetView>
  </sheetViews>
  <sheetFormatPr baseColWidth="10" defaultRowHeight="15" x14ac:dyDescent="0.25"/>
  <cols>
    <col min="5" max="5" width="11.85546875" bestFit="1" customWidth="1"/>
    <col min="7" max="7" width="12.42578125" bestFit="1" customWidth="1"/>
  </cols>
  <sheetData>
    <row r="2" spans="2:7" x14ac:dyDescent="0.25">
      <c r="B2" s="4" t="s">
        <v>21</v>
      </c>
      <c r="C2" s="5" t="s">
        <v>22</v>
      </c>
      <c r="D2" s="5" t="s">
        <v>12</v>
      </c>
      <c r="E2" s="5" t="s">
        <v>14</v>
      </c>
      <c r="F2" s="5" t="s">
        <v>23</v>
      </c>
      <c r="G2" s="6" t="s">
        <v>24</v>
      </c>
    </row>
    <row r="3" spans="2:7" x14ac:dyDescent="0.25">
      <c r="B3" s="7" t="s">
        <v>25</v>
      </c>
      <c r="C3" s="8">
        <v>9</v>
      </c>
      <c r="D3" s="8">
        <v>10</v>
      </c>
      <c r="E3" s="8">
        <f>C3*D3</f>
        <v>90</v>
      </c>
      <c r="F3" s="8">
        <f>E3*$E$10</f>
        <v>4.5</v>
      </c>
      <c r="G3" s="9">
        <f>E3-F3</f>
        <v>85.5</v>
      </c>
    </row>
    <row r="4" spans="2:7" x14ac:dyDescent="0.25">
      <c r="B4" s="7" t="s">
        <v>26</v>
      </c>
      <c r="C4" s="8">
        <v>779.09</v>
      </c>
      <c r="D4" s="8">
        <v>25</v>
      </c>
      <c r="E4" s="8">
        <f t="shared" ref="E4:E6" si="0">C4*D4</f>
        <v>19477.25</v>
      </c>
      <c r="F4" s="8">
        <f t="shared" ref="F4:F6" si="1">E4*$E$10</f>
        <v>973.86250000000007</v>
      </c>
      <c r="G4" s="9">
        <f t="shared" ref="G4:G6" si="2">E4-F4</f>
        <v>18503.387500000001</v>
      </c>
    </row>
    <row r="5" spans="2:7" x14ac:dyDescent="0.25">
      <c r="B5" s="7" t="s">
        <v>27</v>
      </c>
      <c r="C5" s="8">
        <v>305.83</v>
      </c>
      <c r="D5" s="8">
        <v>32</v>
      </c>
      <c r="E5" s="8">
        <f t="shared" si="0"/>
        <v>9786.56</v>
      </c>
      <c r="F5" s="8">
        <f t="shared" si="1"/>
        <v>489.32799999999997</v>
      </c>
      <c r="G5" s="9">
        <f t="shared" si="2"/>
        <v>9297.232</v>
      </c>
    </row>
    <row r="6" spans="2:7" x14ac:dyDescent="0.25">
      <c r="B6" s="10" t="s">
        <v>28</v>
      </c>
      <c r="C6" s="11">
        <v>21</v>
      </c>
      <c r="D6" s="11">
        <v>45</v>
      </c>
      <c r="E6" s="11">
        <f t="shared" si="0"/>
        <v>945</v>
      </c>
      <c r="F6" s="11">
        <f t="shared" si="1"/>
        <v>47.25</v>
      </c>
      <c r="G6" s="12">
        <f t="shared" si="2"/>
        <v>897.75</v>
      </c>
    </row>
    <row r="7" spans="2:7" x14ac:dyDescent="0.25">
      <c r="B7" s="8"/>
      <c r="C7" s="8"/>
      <c r="D7" s="8"/>
      <c r="E7" s="8"/>
      <c r="F7" s="8"/>
      <c r="G7" s="8"/>
    </row>
    <row r="8" spans="2:7" x14ac:dyDescent="0.25">
      <c r="B8" s="8"/>
      <c r="C8" s="8"/>
      <c r="D8" s="8"/>
      <c r="E8" s="8"/>
      <c r="F8" s="8"/>
      <c r="G8" s="8"/>
    </row>
    <row r="9" spans="2:7" x14ac:dyDescent="0.25">
      <c r="B9" s="8"/>
      <c r="C9" s="8"/>
      <c r="D9" s="8"/>
      <c r="E9" s="8"/>
      <c r="F9" s="8"/>
      <c r="G9" s="8"/>
    </row>
    <row r="10" spans="2:7" x14ac:dyDescent="0.25">
      <c r="B10" s="8"/>
      <c r="C10" s="8"/>
      <c r="D10" s="8"/>
      <c r="E10" s="13">
        <v>0.05</v>
      </c>
      <c r="F10" s="8"/>
      <c r="G10" s="8"/>
    </row>
    <row r="11" spans="2:7" x14ac:dyDescent="0.25">
      <c r="B11" s="8"/>
      <c r="C11" s="8"/>
      <c r="D11" s="8"/>
      <c r="E11" s="8"/>
      <c r="F11" s="8"/>
      <c r="G11" s="8"/>
    </row>
    <row r="12" spans="2:7" x14ac:dyDescent="0.25">
      <c r="B12" s="8"/>
      <c r="C12" s="8"/>
      <c r="D12" s="8"/>
      <c r="E12" s="8"/>
      <c r="F12" s="8"/>
      <c r="G12" s="8"/>
    </row>
    <row r="13" spans="2:7" x14ac:dyDescent="0.25">
      <c r="B13" s="8"/>
      <c r="C13" s="8"/>
      <c r="D13" s="8"/>
      <c r="E13" s="8"/>
      <c r="F13" s="8"/>
      <c r="G13" s="8"/>
    </row>
    <row r="14" spans="2:7" x14ac:dyDescent="0.25">
      <c r="B14" s="8"/>
      <c r="C14" s="8"/>
      <c r="D14" s="8"/>
      <c r="E14" s="8"/>
      <c r="F14" s="8"/>
      <c r="G14" s="8"/>
    </row>
    <row r="15" spans="2:7" x14ac:dyDescent="0.25">
      <c r="B15" s="8"/>
      <c r="C15" s="8"/>
      <c r="D15" s="8"/>
      <c r="E15" s="8"/>
      <c r="F15" s="8"/>
      <c r="G15" s="8"/>
    </row>
    <row r="16" spans="2:7" x14ac:dyDescent="0.25">
      <c r="B16" s="8"/>
      <c r="C16" s="8"/>
      <c r="D16" s="8"/>
      <c r="E16" s="8"/>
      <c r="F16" s="8"/>
      <c r="G16" s="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4" r:id="rId3" name="OptionButton3">
          <controlPr defaultSize="0" autoLine="0" r:id="rId4">
            <anchor moveWithCells="1">
              <from>
                <xdr:col>1</xdr:col>
                <xdr:colOff>381000</xdr:colOff>
                <xdr:row>12</xdr:row>
                <xdr:rowOff>28575</xdr:rowOff>
              </from>
              <to>
                <xdr:col>4</xdr:col>
                <xdr:colOff>685800</xdr:colOff>
                <xdr:row>15</xdr:row>
                <xdr:rowOff>133350</xdr:rowOff>
              </to>
            </anchor>
          </controlPr>
        </control>
      </mc:Choice>
      <mc:Fallback>
        <control shapeId="2054" r:id="rId3" name="OptionButton3"/>
      </mc:Fallback>
    </mc:AlternateContent>
    <mc:AlternateContent xmlns:mc="http://schemas.openxmlformats.org/markup-compatibility/2006">
      <mc:Choice Requires="x14">
        <control shapeId="2053" r:id="rId5" name="OptionButton2">
          <controlPr defaultSize="0" autoLine="0" r:id="rId6">
            <anchor moveWithCells="1">
              <from>
                <xdr:col>1</xdr:col>
                <xdr:colOff>409575</xdr:colOff>
                <xdr:row>9</xdr:row>
                <xdr:rowOff>171450</xdr:rowOff>
              </from>
              <to>
                <xdr:col>3</xdr:col>
                <xdr:colOff>514350</xdr:colOff>
                <xdr:row>11</xdr:row>
                <xdr:rowOff>180975</xdr:rowOff>
              </to>
            </anchor>
          </controlPr>
        </control>
      </mc:Choice>
      <mc:Fallback>
        <control shapeId="2053" r:id="rId5" name="OptionButton2"/>
      </mc:Fallback>
    </mc:AlternateContent>
    <mc:AlternateContent xmlns:mc="http://schemas.openxmlformats.org/markup-compatibility/2006">
      <mc:Choice Requires="x14">
        <control shapeId="2052" r:id="rId7" name="OptionButton1">
          <controlPr defaultSize="0" autoFill="0" autoLine="0" r:id="rId8">
            <anchor moveWithCells="1">
              <from>
                <xdr:col>1</xdr:col>
                <xdr:colOff>419100</xdr:colOff>
                <xdr:row>7</xdr:row>
                <xdr:rowOff>142875</xdr:rowOff>
              </from>
              <to>
                <xdr:col>3</xdr:col>
                <xdr:colOff>333375</xdr:colOff>
                <xdr:row>9</xdr:row>
                <xdr:rowOff>85725</xdr:rowOff>
              </to>
            </anchor>
          </controlPr>
        </control>
      </mc:Choice>
      <mc:Fallback>
        <control shapeId="2052" r:id="rId7" name="Option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8C3B9-8562-4044-B4D2-F7A9D8FB7470}">
  <sheetPr codeName="Hoja3"/>
  <dimension ref="A3:K13"/>
  <sheetViews>
    <sheetView workbookViewId="0">
      <selection activeCell="K9" sqref="K9"/>
    </sheetView>
  </sheetViews>
  <sheetFormatPr baseColWidth="10" defaultRowHeight="15" x14ac:dyDescent="0.25"/>
  <cols>
    <col min="10" max="10" width="16.85546875" bestFit="1" customWidth="1"/>
  </cols>
  <sheetData>
    <row r="3" spans="1:11" x14ac:dyDescent="0.25">
      <c r="A3" t="s">
        <v>29</v>
      </c>
      <c r="B3" t="s">
        <v>13</v>
      </c>
      <c r="D3" s="8"/>
      <c r="E3" s="8"/>
      <c r="F3" s="8"/>
      <c r="G3" s="8"/>
      <c r="H3" s="8"/>
      <c r="I3" s="8"/>
      <c r="J3" s="8" t="s">
        <v>12</v>
      </c>
      <c r="K3" s="8">
        <v>96</v>
      </c>
    </row>
    <row r="4" spans="1:11" ht="31.5" x14ac:dyDescent="0.5">
      <c r="A4" t="s">
        <v>30</v>
      </c>
      <c r="B4">
        <v>9900</v>
      </c>
      <c r="D4" s="8"/>
      <c r="E4" s="8"/>
      <c r="F4" s="8"/>
      <c r="G4" s="26" t="s">
        <v>12</v>
      </c>
      <c r="H4" s="26"/>
      <c r="I4" s="8"/>
      <c r="J4" s="8"/>
      <c r="K4" s="8"/>
    </row>
    <row r="5" spans="1:11" x14ac:dyDescent="0.25">
      <c r="A5" t="s">
        <v>31</v>
      </c>
      <c r="B5">
        <v>10000</v>
      </c>
      <c r="D5" s="8"/>
      <c r="E5" s="8"/>
      <c r="F5" s="8"/>
      <c r="G5" s="8"/>
      <c r="H5" s="8"/>
      <c r="I5" s="8"/>
      <c r="J5" s="8" t="s">
        <v>39</v>
      </c>
      <c r="K5" s="8">
        <v>8000</v>
      </c>
    </row>
    <row r="6" spans="1:11" x14ac:dyDescent="0.25">
      <c r="A6" t="s">
        <v>32</v>
      </c>
      <c r="B6">
        <v>8000</v>
      </c>
      <c r="D6" s="8"/>
      <c r="E6" s="8"/>
      <c r="F6" s="8"/>
      <c r="G6" s="8"/>
      <c r="H6" s="8"/>
      <c r="I6" s="8"/>
      <c r="J6" s="8"/>
      <c r="K6" s="8"/>
    </row>
    <row r="7" spans="1:11" x14ac:dyDescent="0.25">
      <c r="A7" t="s">
        <v>33</v>
      </c>
      <c r="B7">
        <v>9600</v>
      </c>
      <c r="D7" s="8"/>
      <c r="E7" s="8"/>
      <c r="F7" s="8"/>
      <c r="G7" s="8"/>
      <c r="H7" s="8"/>
      <c r="I7" s="8"/>
      <c r="J7" s="8" t="s">
        <v>35</v>
      </c>
      <c r="K7" s="15">
        <f>K3*K5</f>
        <v>768000</v>
      </c>
    </row>
    <row r="8" spans="1:11" x14ac:dyDescent="0.25">
      <c r="A8" t="s">
        <v>34</v>
      </c>
      <c r="B8">
        <v>10500</v>
      </c>
      <c r="D8" s="8"/>
      <c r="E8" s="8"/>
      <c r="F8" s="8"/>
      <c r="G8" s="8"/>
      <c r="H8" s="8"/>
      <c r="I8" s="8"/>
      <c r="J8" s="8"/>
      <c r="K8" s="8"/>
    </row>
    <row r="9" spans="1:11" x14ac:dyDescent="0.25">
      <c r="D9" s="8"/>
      <c r="E9" s="8"/>
      <c r="F9" s="8"/>
      <c r="G9" s="8"/>
      <c r="H9" s="8"/>
      <c r="I9" s="8"/>
      <c r="J9" s="8" t="s">
        <v>36</v>
      </c>
      <c r="K9" s="8">
        <f>IF(K7&gt;=500000,K7*0.03,IF(K7&gt;=800000,K7*0.05,K7))</f>
        <v>23040</v>
      </c>
    </row>
    <row r="10" spans="1:11" x14ac:dyDescent="0.25">
      <c r="D10" s="8"/>
      <c r="E10" s="8"/>
      <c r="F10" s="8"/>
      <c r="G10" s="8"/>
      <c r="H10" s="8"/>
      <c r="I10" s="8"/>
      <c r="J10" s="8"/>
      <c r="K10" s="8"/>
    </row>
    <row r="11" spans="1:11" x14ac:dyDescent="0.25">
      <c r="D11" s="8"/>
      <c r="E11" s="8"/>
      <c r="F11" s="8"/>
      <c r="G11" s="8"/>
      <c r="H11" s="8"/>
      <c r="I11" s="8"/>
      <c r="J11" s="8" t="s">
        <v>37</v>
      </c>
      <c r="K11" s="14">
        <v>14899.2</v>
      </c>
    </row>
    <row r="12" spans="1:11" x14ac:dyDescent="0.25">
      <c r="D12" s="8"/>
      <c r="E12" s="8"/>
      <c r="F12" s="8"/>
      <c r="G12" s="8"/>
      <c r="H12" s="8"/>
      <c r="I12" s="8"/>
      <c r="J12" s="8"/>
      <c r="K12" s="8"/>
    </row>
    <row r="13" spans="1:11" x14ac:dyDescent="0.25">
      <c r="D13" s="8"/>
      <c r="E13" s="8"/>
      <c r="F13" s="8"/>
      <c r="G13" s="8"/>
      <c r="H13" s="8"/>
      <c r="I13" s="8"/>
      <c r="J13" s="8" t="s">
        <v>38</v>
      </c>
      <c r="K13" s="31">
        <f>K7-(K9+K11)</f>
        <v>730060.80000000005</v>
      </c>
    </row>
  </sheetData>
  <mergeCells count="1">
    <mergeCell ref="G4:H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SpinButton1">
          <controlPr defaultSize="0" autoLine="0" linkedCell="K3" r:id="rId4">
            <anchor moveWithCells="1">
              <from>
                <xdr:col>6</xdr:col>
                <xdr:colOff>428625</xdr:colOff>
                <xdr:row>5</xdr:row>
                <xdr:rowOff>66675</xdr:rowOff>
              </from>
              <to>
                <xdr:col>7</xdr:col>
                <xdr:colOff>285750</xdr:colOff>
                <xdr:row>9</xdr:row>
                <xdr:rowOff>66675</xdr:rowOff>
              </to>
            </anchor>
          </controlPr>
        </control>
      </mc:Choice>
      <mc:Fallback>
        <control shapeId="3077" r:id="rId3" name="SpinButton1"/>
      </mc:Fallback>
    </mc:AlternateContent>
    <mc:AlternateContent xmlns:mc="http://schemas.openxmlformats.org/markup-compatibility/2006">
      <mc:Choice Requires="x14">
        <control shapeId="3076" r:id="rId5" name="OptionButton3">
          <controlPr defaultSize="0" autoLine="0" r:id="rId6">
            <anchor moveWithCells="1">
              <from>
                <xdr:col>3</xdr:col>
                <xdr:colOff>38100</xdr:colOff>
                <xdr:row>8</xdr:row>
                <xdr:rowOff>9525</xdr:rowOff>
              </from>
              <to>
                <xdr:col>4</xdr:col>
                <xdr:colOff>352425</xdr:colOff>
                <xdr:row>9</xdr:row>
                <xdr:rowOff>57150</xdr:rowOff>
              </to>
            </anchor>
          </controlPr>
        </control>
      </mc:Choice>
      <mc:Fallback>
        <control shapeId="3076" r:id="rId5" name="OptionButton3"/>
      </mc:Fallback>
    </mc:AlternateContent>
    <mc:AlternateContent xmlns:mc="http://schemas.openxmlformats.org/markup-compatibility/2006">
      <mc:Choice Requires="x14">
        <control shapeId="3075" r:id="rId7" name="OptionButton2">
          <controlPr defaultSize="0" autoLine="0" r:id="rId8">
            <anchor moveWithCells="1">
              <from>
                <xdr:col>3</xdr:col>
                <xdr:colOff>28575</xdr:colOff>
                <xdr:row>6</xdr:row>
                <xdr:rowOff>85725</xdr:rowOff>
              </from>
              <to>
                <xdr:col>4</xdr:col>
                <xdr:colOff>333375</xdr:colOff>
                <xdr:row>7</xdr:row>
                <xdr:rowOff>85725</xdr:rowOff>
              </to>
            </anchor>
          </controlPr>
        </control>
      </mc:Choice>
      <mc:Fallback>
        <control shapeId="3075" r:id="rId7" name="OptionButton2"/>
      </mc:Fallback>
    </mc:AlternateContent>
    <mc:AlternateContent xmlns:mc="http://schemas.openxmlformats.org/markup-compatibility/2006">
      <mc:Choice Requires="x14">
        <control shapeId="3074" r:id="rId9" name="OptionButton1">
          <controlPr defaultSize="0" autoLine="0" autoPict="0" r:id="rId10">
            <anchor moveWithCells="1">
              <from>
                <xdr:col>3</xdr:col>
                <xdr:colOff>38100</xdr:colOff>
                <xdr:row>4</xdr:row>
                <xdr:rowOff>161925</xdr:rowOff>
              </from>
              <to>
                <xdr:col>4</xdr:col>
                <xdr:colOff>342900</xdr:colOff>
                <xdr:row>6</xdr:row>
                <xdr:rowOff>9525</xdr:rowOff>
              </to>
            </anchor>
          </controlPr>
        </control>
      </mc:Choice>
      <mc:Fallback>
        <control shapeId="3074" r:id="rId9" name="OptionButton1"/>
      </mc:Fallback>
    </mc:AlternateContent>
    <mc:AlternateContent xmlns:mc="http://schemas.openxmlformats.org/markup-compatibility/2006">
      <mc:Choice Requires="x14">
        <control shapeId="3073" r:id="rId11" name="ComboBox1">
          <controlPr defaultSize="0" autoLine="0" autoPict="0" linkedCell="K5" listFillRange="A4:B8" r:id="rId12">
            <anchor moveWithCells="1">
              <from>
                <xdr:col>2</xdr:col>
                <xdr:colOff>752475</xdr:colOff>
                <xdr:row>1</xdr:row>
                <xdr:rowOff>190500</xdr:rowOff>
              </from>
              <to>
                <xdr:col>5</xdr:col>
                <xdr:colOff>76200</xdr:colOff>
                <xdr:row>3</xdr:row>
                <xdr:rowOff>66675</xdr:rowOff>
              </to>
            </anchor>
          </controlPr>
        </control>
      </mc:Choice>
      <mc:Fallback>
        <control shapeId="3073" r:id="rId11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F86D3-4BD5-4F1C-89AD-5FF7906ECBA9}">
  <sheetPr codeName="Hoja4"/>
  <dimension ref="A2:L23"/>
  <sheetViews>
    <sheetView tabSelected="1" workbookViewId="0">
      <selection activeCell="D2" sqref="D2"/>
    </sheetView>
  </sheetViews>
  <sheetFormatPr baseColWidth="10" defaultRowHeight="15" x14ac:dyDescent="0.25"/>
  <cols>
    <col min="1" max="1" width="19.140625" bestFit="1" customWidth="1"/>
  </cols>
  <sheetData>
    <row r="2" spans="1:12" ht="15.75" thickBot="1" x14ac:dyDescent="0.3"/>
    <row r="3" spans="1:12" x14ac:dyDescent="0.25">
      <c r="E3" s="16"/>
      <c r="F3" s="17"/>
      <c r="G3" s="17"/>
      <c r="H3" s="29" t="s">
        <v>47</v>
      </c>
      <c r="I3" s="29"/>
      <c r="J3" s="17"/>
      <c r="K3" s="17"/>
      <c r="L3" s="18"/>
    </row>
    <row r="4" spans="1:12" x14ac:dyDescent="0.25">
      <c r="E4" s="19"/>
      <c r="F4" s="20"/>
      <c r="G4" s="20"/>
      <c r="H4" s="20"/>
      <c r="I4" s="20"/>
      <c r="J4" s="20"/>
      <c r="K4" s="20"/>
      <c r="L4" s="21"/>
    </row>
    <row r="5" spans="1:12" x14ac:dyDescent="0.25">
      <c r="E5" s="19"/>
      <c r="F5" s="20"/>
      <c r="G5" s="20"/>
      <c r="H5" s="20"/>
      <c r="I5" s="20"/>
      <c r="J5" s="20"/>
      <c r="K5" s="20"/>
      <c r="L5" s="21"/>
    </row>
    <row r="6" spans="1:12" x14ac:dyDescent="0.25">
      <c r="A6" t="s">
        <v>40</v>
      </c>
      <c r="B6">
        <v>151.75</v>
      </c>
      <c r="E6" s="19"/>
      <c r="F6" s="20"/>
      <c r="G6" s="20"/>
      <c r="H6" s="20"/>
      <c r="I6" s="20"/>
      <c r="J6" s="28" t="s">
        <v>48</v>
      </c>
      <c r="K6" s="28"/>
      <c r="L6" s="30"/>
    </row>
    <row r="7" spans="1:12" x14ac:dyDescent="0.25">
      <c r="A7" t="s">
        <v>41</v>
      </c>
      <c r="B7">
        <v>87.74</v>
      </c>
      <c r="E7" s="19"/>
      <c r="F7" s="20"/>
      <c r="G7" s="20"/>
      <c r="H7" s="20"/>
      <c r="I7" s="20"/>
      <c r="J7" s="20"/>
      <c r="K7" s="20"/>
      <c r="L7" s="21"/>
    </row>
    <row r="8" spans="1:12" x14ac:dyDescent="0.25">
      <c r="A8" t="s">
        <v>42</v>
      </c>
      <c r="B8">
        <v>133.75</v>
      </c>
      <c r="E8" s="19"/>
      <c r="F8" s="20"/>
      <c r="G8" s="20"/>
      <c r="H8" s="20"/>
      <c r="I8" s="20"/>
      <c r="J8" s="20"/>
      <c r="K8" s="20"/>
      <c r="L8" s="21"/>
    </row>
    <row r="9" spans="1:12" x14ac:dyDescent="0.25">
      <c r="A9" t="s">
        <v>43</v>
      </c>
      <c r="B9">
        <v>359.7</v>
      </c>
      <c r="E9" s="19"/>
      <c r="F9" s="20"/>
      <c r="G9" s="20"/>
      <c r="H9" s="20"/>
      <c r="I9" s="20"/>
      <c r="J9" s="20"/>
      <c r="K9" s="20"/>
      <c r="L9" s="21"/>
    </row>
    <row r="10" spans="1:12" x14ac:dyDescent="0.25">
      <c r="E10" s="19"/>
      <c r="F10" s="20"/>
      <c r="G10" s="20"/>
      <c r="H10" s="20"/>
      <c r="I10" s="20"/>
      <c r="J10" s="20"/>
      <c r="K10" s="20"/>
      <c r="L10" s="21"/>
    </row>
    <row r="11" spans="1:12" x14ac:dyDescent="0.25">
      <c r="A11" t="s">
        <v>44</v>
      </c>
      <c r="B11">
        <v>70</v>
      </c>
      <c r="E11" s="19"/>
      <c r="F11" s="20"/>
      <c r="G11" s="20"/>
      <c r="H11" s="20"/>
      <c r="I11" s="20"/>
      <c r="J11" s="20"/>
      <c r="K11" s="20"/>
      <c r="L11" s="21"/>
    </row>
    <row r="12" spans="1:12" x14ac:dyDescent="0.25">
      <c r="A12" t="s">
        <v>45</v>
      </c>
      <c r="B12">
        <v>42</v>
      </c>
      <c r="E12" s="19"/>
      <c r="F12" s="20"/>
      <c r="G12" s="20"/>
      <c r="H12" s="20"/>
      <c r="I12" s="20"/>
      <c r="J12" s="20"/>
      <c r="K12" s="20"/>
      <c r="L12" s="21"/>
    </row>
    <row r="13" spans="1:12" x14ac:dyDescent="0.25">
      <c r="A13" t="s">
        <v>46</v>
      </c>
      <c r="B13">
        <v>42</v>
      </c>
      <c r="E13" s="19"/>
      <c r="F13" s="20"/>
      <c r="G13" s="20"/>
      <c r="H13" s="20"/>
      <c r="I13" s="28" t="s">
        <v>49</v>
      </c>
      <c r="J13" s="28"/>
      <c r="K13" s="20"/>
      <c r="L13" s="21"/>
    </row>
    <row r="14" spans="1:12" x14ac:dyDescent="0.25">
      <c r="E14" s="19"/>
      <c r="F14" s="20"/>
      <c r="G14" s="20"/>
      <c r="H14" s="20"/>
      <c r="I14" s="20"/>
      <c r="J14" s="20"/>
      <c r="K14" s="20"/>
      <c r="L14" s="21"/>
    </row>
    <row r="15" spans="1:12" x14ac:dyDescent="0.25">
      <c r="E15" s="19"/>
      <c r="F15" s="20"/>
      <c r="G15" s="20"/>
      <c r="H15" s="20"/>
      <c r="I15" s="20"/>
      <c r="J15" s="20"/>
      <c r="K15" s="20"/>
      <c r="L15" s="21"/>
    </row>
    <row r="16" spans="1:12" x14ac:dyDescent="0.25">
      <c r="E16" s="19"/>
      <c r="F16" s="20"/>
      <c r="G16" s="20"/>
      <c r="H16" s="20"/>
      <c r="I16" s="28" t="s">
        <v>50</v>
      </c>
      <c r="J16" s="28"/>
      <c r="K16" s="20"/>
      <c r="L16" s="21">
        <v>87.74</v>
      </c>
    </row>
    <row r="17" spans="5:12" x14ac:dyDescent="0.25">
      <c r="E17" s="19"/>
      <c r="F17" s="20"/>
      <c r="G17" s="20"/>
      <c r="H17" s="20"/>
      <c r="I17" s="28" t="s">
        <v>51</v>
      </c>
      <c r="J17" s="28"/>
      <c r="K17" s="20"/>
      <c r="L17" s="21">
        <v>0</v>
      </c>
    </row>
    <row r="18" spans="5:12" x14ac:dyDescent="0.25">
      <c r="E18" s="19"/>
      <c r="F18" s="20"/>
      <c r="G18" s="20"/>
      <c r="H18" s="20"/>
      <c r="I18" s="20"/>
      <c r="J18" s="20"/>
      <c r="K18" s="20"/>
      <c r="L18" s="21"/>
    </row>
    <row r="19" spans="5:12" x14ac:dyDescent="0.25">
      <c r="E19" s="19"/>
      <c r="F19" s="20"/>
      <c r="G19" s="20"/>
      <c r="H19" s="20"/>
      <c r="I19" s="28" t="s">
        <v>52</v>
      </c>
      <c r="J19" s="28"/>
      <c r="K19" s="20"/>
      <c r="L19" s="21">
        <f>L16+L17</f>
        <v>87.74</v>
      </c>
    </row>
    <row r="20" spans="5:12" x14ac:dyDescent="0.25">
      <c r="E20" s="19"/>
      <c r="F20" s="20"/>
      <c r="G20" s="20"/>
      <c r="H20" s="20"/>
      <c r="I20" s="20"/>
      <c r="J20" s="20"/>
      <c r="K20" s="20"/>
      <c r="L20" s="21"/>
    </row>
    <row r="21" spans="5:12" x14ac:dyDescent="0.25">
      <c r="E21" s="19"/>
      <c r="F21" s="20"/>
      <c r="G21" s="20"/>
      <c r="H21" s="20"/>
      <c r="I21" s="28" t="s">
        <v>53</v>
      </c>
      <c r="J21" s="28"/>
      <c r="K21" s="20"/>
      <c r="L21" s="25">
        <v>8.7739999999999991</v>
      </c>
    </row>
    <row r="22" spans="5:12" x14ac:dyDescent="0.25">
      <c r="E22" s="19"/>
      <c r="F22" s="20"/>
      <c r="G22" s="20"/>
      <c r="H22" s="20"/>
      <c r="I22" s="20"/>
      <c r="J22" s="20"/>
      <c r="K22" s="20"/>
      <c r="L22" s="21"/>
    </row>
    <row r="23" spans="5:12" ht="15.75" thickBot="1" x14ac:dyDescent="0.3">
      <c r="E23" s="22"/>
      <c r="F23" s="23"/>
      <c r="G23" s="23"/>
      <c r="H23" s="23"/>
      <c r="I23" s="27" t="s">
        <v>38</v>
      </c>
      <c r="J23" s="27"/>
      <c r="K23" s="23"/>
      <c r="L23" s="24">
        <f>L19+L21</f>
        <v>96.513999999999996</v>
      </c>
    </row>
  </sheetData>
  <mergeCells count="8">
    <mergeCell ref="I23:J23"/>
    <mergeCell ref="I13:J13"/>
    <mergeCell ref="H3:I3"/>
    <mergeCell ref="J6:L6"/>
    <mergeCell ref="I16:J16"/>
    <mergeCell ref="I17:J17"/>
    <mergeCell ref="I21:J21"/>
    <mergeCell ref="I19:J1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boBox1">
          <controlPr defaultSize="0" autoLine="0" linkedCell="L16" listFillRange="A6:B9" r:id="rId4">
            <anchor moveWithCells="1">
              <from>
                <xdr:col>4</xdr:col>
                <xdr:colOff>314325</xdr:colOff>
                <xdr:row>4</xdr:row>
                <xdr:rowOff>85725</xdr:rowOff>
              </from>
              <to>
                <xdr:col>6</xdr:col>
                <xdr:colOff>523875</xdr:colOff>
                <xdr:row>5</xdr:row>
                <xdr:rowOff>161925</xdr:rowOff>
              </to>
            </anchor>
          </controlPr>
        </control>
      </mc:Choice>
      <mc:Fallback>
        <control shapeId="4098" r:id="rId3" name="ComboBox1"/>
      </mc:Fallback>
    </mc:AlternateContent>
    <mc:AlternateContent xmlns:mc="http://schemas.openxmlformats.org/markup-compatibility/2006">
      <mc:Choice Requires="x14">
        <control shapeId="4099" r:id="rId5" name="OptionButton1">
          <controlPr defaultSize="0" autoLine="0" r:id="rId6">
            <anchor moveWithCells="1">
              <from>
                <xdr:col>4</xdr:col>
                <xdr:colOff>247650</xdr:colOff>
                <xdr:row>9</xdr:row>
                <xdr:rowOff>0</xdr:rowOff>
              </from>
              <to>
                <xdr:col>6</xdr:col>
                <xdr:colOff>142875</xdr:colOff>
                <xdr:row>10</xdr:row>
                <xdr:rowOff>28575</xdr:rowOff>
              </to>
            </anchor>
          </controlPr>
        </control>
      </mc:Choice>
      <mc:Fallback>
        <control shapeId="4099" r:id="rId5" name="OptionButton1"/>
      </mc:Fallback>
    </mc:AlternateContent>
    <mc:AlternateContent xmlns:mc="http://schemas.openxmlformats.org/markup-compatibility/2006">
      <mc:Choice Requires="x14">
        <control shapeId="4100" r:id="rId7" name="OptionButton2">
          <controlPr defaultSize="0" autoLine="0" r:id="rId8">
            <anchor moveWithCells="1">
              <from>
                <xdr:col>4</xdr:col>
                <xdr:colOff>247650</xdr:colOff>
                <xdr:row>10</xdr:row>
                <xdr:rowOff>123825</xdr:rowOff>
              </from>
              <to>
                <xdr:col>6</xdr:col>
                <xdr:colOff>200025</xdr:colOff>
                <xdr:row>11</xdr:row>
                <xdr:rowOff>133350</xdr:rowOff>
              </to>
            </anchor>
          </controlPr>
        </control>
      </mc:Choice>
      <mc:Fallback>
        <control shapeId="4100" r:id="rId7" name="OptionButton2"/>
      </mc:Fallback>
    </mc:AlternateContent>
    <mc:AlternateContent xmlns:mc="http://schemas.openxmlformats.org/markup-compatibility/2006">
      <mc:Choice Requires="x14">
        <control shapeId="4101" r:id="rId9" name="OptionButton3">
          <controlPr defaultSize="0" autoLine="0" r:id="rId10">
            <anchor moveWithCells="1">
              <from>
                <xdr:col>4</xdr:col>
                <xdr:colOff>247650</xdr:colOff>
                <xdr:row>12</xdr:row>
                <xdr:rowOff>38100</xdr:rowOff>
              </from>
              <to>
                <xdr:col>6</xdr:col>
                <xdr:colOff>142875</xdr:colOff>
                <xdr:row>13</xdr:row>
                <xdr:rowOff>47625</xdr:rowOff>
              </to>
            </anchor>
          </controlPr>
        </control>
      </mc:Choice>
      <mc:Fallback>
        <control shapeId="4101" r:id="rId9" name="OptionButton3"/>
      </mc:Fallback>
    </mc:AlternateContent>
    <mc:AlternateContent xmlns:mc="http://schemas.openxmlformats.org/markup-compatibility/2006">
      <mc:Choice Requires="x14">
        <control shapeId="4102" r:id="rId11" name="OptionButton4">
          <controlPr defaultSize="0" autoLine="0" r:id="rId12">
            <anchor moveWithCells="1">
              <from>
                <xdr:col>4</xdr:col>
                <xdr:colOff>247650</xdr:colOff>
                <xdr:row>13</xdr:row>
                <xdr:rowOff>152400</xdr:rowOff>
              </from>
              <to>
                <xdr:col>6</xdr:col>
                <xdr:colOff>142875</xdr:colOff>
                <xdr:row>15</xdr:row>
                <xdr:rowOff>28575</xdr:rowOff>
              </to>
            </anchor>
          </controlPr>
        </control>
      </mc:Choice>
      <mc:Fallback>
        <control shapeId="4102" r:id="rId11" name="OptionButton4"/>
      </mc:Fallback>
    </mc:AlternateContent>
    <mc:AlternateContent xmlns:mc="http://schemas.openxmlformats.org/markup-compatibility/2006">
      <mc:Choice Requires="x14">
        <control shapeId="4104" r:id="rId13" name="CheckBox1">
          <controlPr defaultSize="0" autoLine="0" r:id="rId14">
            <anchor moveWithCells="1">
              <from>
                <xdr:col>8</xdr:col>
                <xdr:colOff>666750</xdr:colOff>
                <xdr:row>7</xdr:row>
                <xdr:rowOff>171450</xdr:rowOff>
              </from>
              <to>
                <xdr:col>11</xdr:col>
                <xdr:colOff>533400</xdr:colOff>
                <xdr:row>9</xdr:row>
                <xdr:rowOff>38100</xdr:rowOff>
              </to>
            </anchor>
          </controlPr>
        </control>
      </mc:Choice>
      <mc:Fallback>
        <control shapeId="4104" r:id="rId13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ejer1</vt:lpstr>
      <vt:lpstr>ejer2</vt:lpstr>
      <vt:lpstr>ejer3</vt:lpstr>
      <vt:lpstr>ejer4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Programacion</dc:creator>
  <cp:lastModifiedBy>Programacion</cp:lastModifiedBy>
  <dcterms:created xsi:type="dcterms:W3CDTF">2015-06-05T18:19:34Z</dcterms:created>
  <dcterms:modified xsi:type="dcterms:W3CDTF">2023-04-14T17:42:52Z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cc6f1fc7-05c1-47bc-9d49-541106c2d07e</vt:lpwstr>
  </property>
</Properties>
</file>